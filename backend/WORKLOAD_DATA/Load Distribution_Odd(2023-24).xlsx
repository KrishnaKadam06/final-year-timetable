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730" windowHeight="8205"/>
  </bookViews>
  <sheets>
    <sheet name="Table 1" sheetId="1" r:id="rId1"/>
  </sheets>
  <definedNames>
    <definedName name="_xlnm.Print_Area" localSheetId="0">'Table 1'!$A$1:$I$86</definedName>
    <definedName name="_xlnm.Print_Titles" localSheetId="0">'Table 1'!$4:$4</definedName>
  </definedNames>
  <calcPr calcId="144525"/>
</workbook>
</file>

<file path=xl/calcChain.xml><?xml version="1.0" encoding="utf-8"?>
<calcChain xmlns="http://schemas.openxmlformats.org/spreadsheetml/2006/main">
  <c r="I84" i="1" l="1"/>
  <c r="I85" i="1"/>
  <c r="I83" i="1"/>
  <c r="I80" i="1" l="1"/>
  <c r="I8" i="1"/>
  <c r="I78" i="1"/>
  <c r="I74" i="1" l="1"/>
  <c r="I43" i="1"/>
  <c r="I42" i="1"/>
  <c r="I38" i="1"/>
  <c r="I71" i="1" l="1"/>
  <c r="I62" i="1" l="1"/>
  <c r="I53" i="1"/>
  <c r="I56" i="1"/>
  <c r="I59" i="1"/>
  <c r="I65" i="1"/>
  <c r="I68" i="1"/>
  <c r="I11" i="1"/>
  <c r="I14" i="1"/>
  <c r="I17" i="1"/>
  <c r="I20" i="1"/>
  <c r="I23" i="1"/>
  <c r="I26" i="1"/>
  <c r="I29" i="1"/>
  <c r="I32" i="1"/>
  <c r="I35" i="1"/>
  <c r="I44" i="1"/>
  <c r="I47" i="1"/>
  <c r="I50" i="1"/>
  <c r="I5" i="1"/>
</calcChain>
</file>

<file path=xl/sharedStrings.xml><?xml version="1.0" encoding="utf-8"?>
<sst xmlns="http://schemas.openxmlformats.org/spreadsheetml/2006/main" count="260" uniqueCount="82">
  <si>
    <t>Dr. Sandhya D. Kadam</t>
  </si>
  <si>
    <t>Ms. Tilottama P. Dhake</t>
  </si>
  <si>
    <t>Ms. Rashmi  R. Adatkar</t>
  </si>
  <si>
    <t>Dr. Kiran R. Rathod</t>
  </si>
  <si>
    <t>Ms. Pradnya V. Kamble</t>
  </si>
  <si>
    <t>Mr. Prashant B.Upadhyay</t>
  </si>
  <si>
    <t>Mr. Sandeep S. Mishra</t>
  </si>
  <si>
    <t>Ms. Rupali V. Satpute</t>
  </si>
  <si>
    <t>Ms. Pranali P. Hatode</t>
  </si>
  <si>
    <t>Mr. Amit T. Kukreja</t>
  </si>
  <si>
    <t>Ms. Rupali S. Kadu</t>
  </si>
  <si>
    <t>Ms. Sandhya S. Deshpande</t>
  </si>
  <si>
    <t>Ms.Swati H. Shinde</t>
  </si>
  <si>
    <t>Mr. Sagar V. Mhatre</t>
  </si>
  <si>
    <t>Ms. Priya A. Gupta</t>
  </si>
  <si>
    <t>Ms. Reshama J. Rasal</t>
  </si>
  <si>
    <t>Ms. Archan Kshirsagar</t>
  </si>
  <si>
    <t>PBL Mini</t>
  </si>
  <si>
    <t>III</t>
  </si>
  <si>
    <t>EICS</t>
  </si>
  <si>
    <t>MCS</t>
  </si>
  <si>
    <t>Dr. Payal Varngaonkar</t>
  </si>
  <si>
    <t>Mr. Divesh Singh</t>
  </si>
  <si>
    <t>Dr. Vrushali Deole</t>
  </si>
  <si>
    <t>Ms. Prahelika Pai</t>
  </si>
  <si>
    <t>EDC</t>
  </si>
  <si>
    <t>Name of Faculty</t>
  </si>
  <si>
    <t>Theory Subject</t>
  </si>
  <si>
    <t>Theory Semester</t>
  </si>
  <si>
    <t>Theory (Hrs)</t>
  </si>
  <si>
    <t>Practical Subject</t>
  </si>
  <si>
    <t>Practical Semester</t>
  </si>
  <si>
    <t>Practical Batches</t>
  </si>
  <si>
    <t>Total (Hrs)</t>
  </si>
  <si>
    <t>No. of Batches</t>
  </si>
  <si>
    <t>Dr. Jayashree  V. Khanapuri</t>
  </si>
  <si>
    <t>DCE</t>
  </si>
  <si>
    <t>V</t>
  </si>
  <si>
    <t>DSA</t>
  </si>
  <si>
    <t>Project</t>
  </si>
  <si>
    <t>VII</t>
  </si>
  <si>
    <t>Ms. Vricha S. Chavan</t>
  </si>
  <si>
    <t>MIS</t>
  </si>
  <si>
    <t>DCOM</t>
  </si>
  <si>
    <t>DLD</t>
  </si>
  <si>
    <t>CCS</t>
  </si>
  <si>
    <t>SBL - VII</t>
  </si>
  <si>
    <t>MEW</t>
  </si>
  <si>
    <t>MWE</t>
  </si>
  <si>
    <t>ROBO</t>
  </si>
  <si>
    <t>Mr. Martand S. Jha</t>
  </si>
  <si>
    <t>BEE</t>
  </si>
  <si>
    <t>I</t>
  </si>
  <si>
    <t>DOCM</t>
  </si>
  <si>
    <t>RSA</t>
  </si>
  <si>
    <t>Mr. Harshawardhan
P. Ahire</t>
  </si>
  <si>
    <t>AIML</t>
  </si>
  <si>
    <t>VII(H)</t>
  </si>
  <si>
    <t>BDA</t>
  </si>
  <si>
    <t>DTSP</t>
  </si>
  <si>
    <t>ME</t>
  </si>
  <si>
    <t>TBL+PBL</t>
  </si>
  <si>
    <t>SBL+PBL</t>
  </si>
  <si>
    <t>ESR</t>
  </si>
  <si>
    <t>DVD</t>
  </si>
  <si>
    <t>ST</t>
  </si>
  <si>
    <t>ENT</t>
  </si>
  <si>
    <t>SBL-III</t>
  </si>
  <si>
    <t>CS</t>
  </si>
  <si>
    <t>AM-III</t>
  </si>
  <si>
    <t>TUT</t>
  </si>
  <si>
    <t>BCE</t>
  </si>
  <si>
    <t>Dr. Namrata Ansari</t>
  </si>
  <si>
    <t>Dr. Priya T. Hankare</t>
  </si>
  <si>
    <t>Dr. Dhanashree Toradmalle</t>
  </si>
  <si>
    <t>CSL</t>
  </si>
  <si>
    <r>
      <rPr>
        <b/>
        <sz val="10"/>
        <rFont val="Calibri"/>
        <family val="2"/>
        <scheme val="minor"/>
      </rPr>
      <t>Sr.
No.</t>
    </r>
  </si>
  <si>
    <t>Dr. Anita Padhye</t>
  </si>
  <si>
    <t>Mr. Sunil D. Patil</t>
  </si>
  <si>
    <t>Load Distribution_Odd(2023-24)</t>
  </si>
  <si>
    <t>wef. 10th July2023</t>
  </si>
  <si>
    <t>BCE(A)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</si>
</sst>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Times New Roman"/>
      <charset val="204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top" wrapText="1"/>
    </xf>
    <xf numFmtId="1" fontId="1" fillId="0" borderId="1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1" fillId="0" borderId="6" xfId="0" applyFont="1" applyFill="1" applyBorder="1" applyAlignment="1">
      <alignment horizontal="center" vertical="top" wrapText="1"/>
    </xf>
    <xf numFmtId="1" fontId="1" fillId="0" borderId="9" xfId="0" applyNumberFormat="1" applyFont="1" applyFill="1" applyBorder="1" applyAlignment="1">
      <alignment horizontal="center" vertical="top" shrinkToFit="1"/>
    </xf>
    <xf numFmtId="0" fontId="1" fillId="0" borderId="5" xfId="0" applyFont="1" applyFill="1" applyBorder="1" applyAlignment="1">
      <alignment horizontal="left" vertical="top"/>
    </xf>
    <xf numFmtId="0" fontId="1" fillId="0" borderId="7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1" fontId="1" fillId="0" borderId="10" xfId="0" applyNumberFormat="1" applyFont="1" applyFill="1" applyBorder="1" applyAlignment="1">
      <alignment horizontal="center" vertical="top" shrinkToFit="1"/>
    </xf>
    <xf numFmtId="0" fontId="1" fillId="0" borderId="4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center" vertical="top" wrapText="1"/>
    </xf>
    <xf numFmtId="1" fontId="1" fillId="0" borderId="5" xfId="0" applyNumberFormat="1" applyFont="1" applyFill="1" applyBorder="1" applyAlignment="1">
      <alignment horizontal="center" vertical="top" shrinkToFit="1"/>
    </xf>
    <xf numFmtId="0" fontId="1" fillId="0" borderId="5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vertical="top" wrapText="1"/>
    </xf>
    <xf numFmtId="1" fontId="1" fillId="0" borderId="4" xfId="0" applyNumberFormat="1" applyFont="1" applyFill="1" applyBorder="1" applyAlignment="1">
      <alignment horizontal="center" vertical="top" shrinkToFit="1"/>
    </xf>
    <xf numFmtId="1" fontId="1" fillId="0" borderId="2" xfId="0" applyNumberFormat="1" applyFont="1" applyFill="1" applyBorder="1" applyAlignment="1">
      <alignment horizontal="center" vertical="top" shrinkToFit="1"/>
    </xf>
    <xf numFmtId="0" fontId="1" fillId="0" borderId="5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/>
    </xf>
    <xf numFmtId="1" fontId="1" fillId="0" borderId="5" xfId="0" applyNumberFormat="1" applyFont="1" applyFill="1" applyBorder="1" applyAlignment="1">
      <alignment horizontal="center" vertical="center" shrinkToFit="1"/>
    </xf>
    <xf numFmtId="1" fontId="1" fillId="0" borderId="7" xfId="0" applyNumberFormat="1" applyFont="1" applyFill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left" vertical="center"/>
    </xf>
    <xf numFmtId="1" fontId="1" fillId="0" borderId="11" xfId="0" applyNumberFormat="1" applyFont="1" applyFill="1" applyBorder="1" applyAlignment="1">
      <alignment horizontal="center" vertical="center" shrinkToFit="1"/>
    </xf>
    <xf numFmtId="0" fontId="1" fillId="0" borderId="5" xfId="0" applyFont="1" applyFill="1" applyBorder="1" applyAlignment="1">
      <alignment vertical="center" wrapText="1"/>
    </xf>
    <xf numFmtId="0" fontId="1" fillId="0" borderId="12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top" shrinkToFit="1"/>
    </xf>
    <xf numFmtId="1" fontId="1" fillId="0" borderId="4" xfId="0" applyNumberFormat="1" applyFont="1" applyFill="1" applyBorder="1" applyAlignment="1">
      <alignment horizontal="center" vertical="top" shrinkToFit="1"/>
    </xf>
    <xf numFmtId="1" fontId="1" fillId="0" borderId="2" xfId="0" applyNumberFormat="1" applyFont="1" applyFill="1" applyBorder="1" applyAlignment="1">
      <alignment horizontal="center" vertical="center" shrinkToFit="1"/>
    </xf>
    <xf numFmtId="1" fontId="1" fillId="0" borderId="3" xfId="0" applyNumberFormat="1" applyFont="1" applyFill="1" applyBorder="1" applyAlignment="1">
      <alignment horizontal="center" vertical="center" shrinkToFit="1"/>
    </xf>
    <xf numFmtId="1" fontId="1" fillId="0" borderId="4" xfId="0" applyNumberFormat="1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1" fontId="1" fillId="0" borderId="7" xfId="0" applyNumberFormat="1" applyFont="1" applyFill="1" applyBorder="1" applyAlignment="1">
      <alignment horizontal="center" vertical="center" shrinkToFit="1"/>
    </xf>
    <xf numFmtId="1" fontId="1" fillId="0" borderId="11" xfId="0" applyNumberFormat="1" applyFont="1" applyFill="1" applyBorder="1" applyAlignment="1">
      <alignment horizontal="center" vertical="center" shrinkToFit="1"/>
    </xf>
    <xf numFmtId="1" fontId="1" fillId="0" borderId="5" xfId="0" applyNumberFormat="1" applyFont="1" applyFill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left" vertical="center" wrapText="1"/>
    </xf>
    <xf numFmtId="1" fontId="1" fillId="0" borderId="8" xfId="0" applyNumberFormat="1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top" shrinkToFit="1"/>
    </xf>
    <xf numFmtId="1" fontId="1" fillId="0" borderId="4" xfId="0" applyNumberFormat="1" applyFont="1" applyFill="1" applyBorder="1" applyAlignment="1">
      <alignment horizontal="center" vertical="top" shrinkToFit="1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1" fontId="1" fillId="0" borderId="2" xfId="0" applyNumberFormat="1" applyFont="1" applyFill="1" applyBorder="1" applyAlignment="1">
      <alignment horizontal="center" vertical="center" wrapText="1" shrinkToFit="1"/>
    </xf>
    <xf numFmtId="1" fontId="1" fillId="0" borderId="3" xfId="0" applyNumberFormat="1" applyFont="1" applyFill="1" applyBorder="1" applyAlignment="1">
      <alignment horizontal="center" vertical="center" wrapText="1" shrinkToFit="1"/>
    </xf>
    <xf numFmtId="1" fontId="1" fillId="0" borderId="4" xfId="0" applyNumberFormat="1" applyFont="1" applyFill="1" applyBorder="1" applyAlignment="1">
      <alignment horizontal="center" vertical="center" wrapText="1" shrinkToFit="1"/>
    </xf>
    <xf numFmtId="1" fontId="1" fillId="0" borderId="13" xfId="0" applyNumberFormat="1" applyFont="1" applyFill="1" applyBorder="1" applyAlignment="1">
      <alignment horizontal="center" vertical="center" shrinkToFit="1"/>
    </xf>
    <xf numFmtId="0" fontId="1" fillId="0" borderId="13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"/>
  <sheetViews>
    <sheetView tabSelected="1" view="pageBreakPreview" topLeftCell="A16" zoomScale="60" zoomScaleNormal="100" workbookViewId="0">
      <selection activeCell="A41" sqref="A41:I43"/>
    </sheetView>
  </sheetViews>
  <sheetFormatPr defaultRowHeight="12.75" x14ac:dyDescent="0.2"/>
  <cols>
    <col min="1" max="1" width="5.1640625" style="3" customWidth="1"/>
    <col min="2" max="2" width="26.83203125" style="33" customWidth="1"/>
    <col min="3" max="3" width="12" style="6" customWidth="1"/>
    <col min="4" max="4" width="10.6640625" style="6" customWidth="1"/>
    <col min="5" max="5" width="11.33203125" style="6" customWidth="1"/>
    <col min="6" max="6" width="13.1640625" style="6" customWidth="1"/>
    <col min="7" max="7" width="11.33203125" style="6" customWidth="1"/>
    <col min="8" max="8" width="9.6640625" style="6" customWidth="1"/>
    <col min="9" max="9" width="10" style="6" customWidth="1"/>
    <col min="10" max="10" width="11.5" style="6" hidden="1" customWidth="1"/>
    <col min="11" max="16384" width="9.33203125" style="6"/>
  </cols>
  <sheetData>
    <row r="1" spans="1:11" x14ac:dyDescent="0.2">
      <c r="A1" s="50" t="s">
        <v>79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x14ac:dyDescent="0.2">
      <c r="A2" s="36"/>
      <c r="B2" s="36"/>
      <c r="C2" s="36"/>
      <c r="D2" s="36"/>
      <c r="E2" s="36"/>
      <c r="F2" s="36"/>
      <c r="G2" s="36"/>
      <c r="H2" s="36" t="s">
        <v>80</v>
      </c>
      <c r="I2" s="36"/>
      <c r="J2" s="36"/>
      <c r="K2" s="36"/>
    </row>
    <row r="4" spans="1:11" s="3" customFormat="1" ht="30.75" customHeight="1" x14ac:dyDescent="0.2">
      <c r="A4" s="1" t="s">
        <v>76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</row>
    <row r="5" spans="1:11" ht="15.75" customHeight="1" x14ac:dyDescent="0.2">
      <c r="A5" s="39">
        <v>1</v>
      </c>
      <c r="B5" s="42" t="s">
        <v>35</v>
      </c>
      <c r="C5" s="4" t="s">
        <v>36</v>
      </c>
      <c r="D5" s="4" t="s">
        <v>37</v>
      </c>
      <c r="E5" s="5">
        <v>3</v>
      </c>
      <c r="F5" s="4" t="s">
        <v>36</v>
      </c>
      <c r="G5" s="4" t="s">
        <v>37</v>
      </c>
      <c r="H5" s="5">
        <v>1</v>
      </c>
      <c r="I5" s="39">
        <f>SUM(E5,E6,E7,H5*2,H7*2,H6*2)</f>
        <v>9</v>
      </c>
      <c r="J5" s="39">
        <v>4</v>
      </c>
    </row>
    <row r="6" spans="1:11" ht="15.75" customHeight="1" x14ac:dyDescent="0.2">
      <c r="A6" s="40"/>
      <c r="B6" s="43"/>
      <c r="C6" s="7"/>
      <c r="D6" s="7"/>
      <c r="E6" s="7"/>
      <c r="F6" s="4" t="s">
        <v>38</v>
      </c>
      <c r="G6" s="4" t="s">
        <v>37</v>
      </c>
      <c r="H6" s="5">
        <v>1</v>
      </c>
      <c r="I6" s="40"/>
      <c r="J6" s="40"/>
    </row>
    <row r="7" spans="1:11" ht="15.75" customHeight="1" x14ac:dyDescent="0.2">
      <c r="A7" s="41"/>
      <c r="B7" s="44"/>
      <c r="C7" s="4" t="s">
        <v>39</v>
      </c>
      <c r="D7" s="4" t="s">
        <v>40</v>
      </c>
      <c r="E7" s="5">
        <v>2</v>
      </c>
      <c r="F7" s="8"/>
      <c r="G7" s="8"/>
      <c r="H7" s="8"/>
      <c r="I7" s="41"/>
      <c r="J7" s="41"/>
    </row>
    <row r="8" spans="1:11" ht="15.75" customHeight="1" x14ac:dyDescent="0.2">
      <c r="A8" s="39">
        <v>2</v>
      </c>
      <c r="B8" s="42" t="s">
        <v>72</v>
      </c>
      <c r="C8" s="9" t="s">
        <v>25</v>
      </c>
      <c r="D8" s="4" t="s">
        <v>18</v>
      </c>
      <c r="E8" s="10">
        <v>3</v>
      </c>
      <c r="F8" s="11"/>
      <c r="G8" s="11"/>
      <c r="H8" s="11"/>
      <c r="I8" s="45">
        <f>SUM(E8,E9,E10,H8*2,H9*2,H10*2)</f>
        <v>8</v>
      </c>
      <c r="J8" s="39">
        <v>3</v>
      </c>
    </row>
    <row r="9" spans="1:11" ht="14.45" customHeight="1" x14ac:dyDescent="0.2">
      <c r="A9" s="40"/>
      <c r="B9" s="43"/>
      <c r="C9" s="12" t="s">
        <v>25</v>
      </c>
      <c r="D9" s="13" t="s">
        <v>18</v>
      </c>
      <c r="E9" s="14">
        <v>3</v>
      </c>
      <c r="F9" s="11"/>
      <c r="G9" s="11"/>
      <c r="H9" s="11"/>
      <c r="I9" s="46"/>
      <c r="J9" s="40"/>
    </row>
    <row r="10" spans="1:11" ht="15.75" customHeight="1" x14ac:dyDescent="0.2">
      <c r="A10" s="41"/>
      <c r="B10" s="44"/>
      <c r="C10" s="4" t="s">
        <v>39</v>
      </c>
      <c r="D10" s="4" t="s">
        <v>40</v>
      </c>
      <c r="E10" s="5">
        <v>2</v>
      </c>
      <c r="F10" s="15"/>
      <c r="G10" s="15"/>
      <c r="H10" s="15"/>
      <c r="I10" s="41"/>
      <c r="J10" s="41"/>
    </row>
    <row r="11" spans="1:11" ht="15.75" customHeight="1" x14ac:dyDescent="0.2">
      <c r="A11" s="39">
        <v>3</v>
      </c>
      <c r="B11" s="42" t="s">
        <v>41</v>
      </c>
      <c r="C11" s="4" t="s">
        <v>42</v>
      </c>
      <c r="D11" s="4" t="s">
        <v>40</v>
      </c>
      <c r="E11" s="5">
        <v>3</v>
      </c>
      <c r="F11" s="4" t="s">
        <v>43</v>
      </c>
      <c r="G11" s="4" t="s">
        <v>37</v>
      </c>
      <c r="H11" s="5">
        <v>6</v>
      </c>
      <c r="I11" s="39">
        <f t="shared" ref="I11" si="0">SUM(E11,E12,E13,H11*2,H13*2,H12*2)</f>
        <v>17</v>
      </c>
      <c r="J11" s="39">
        <v>-1</v>
      </c>
    </row>
    <row r="12" spans="1:11" ht="14.45" customHeight="1" x14ac:dyDescent="0.2">
      <c r="A12" s="40"/>
      <c r="B12" s="43"/>
      <c r="C12" s="7"/>
      <c r="D12" s="7"/>
      <c r="E12" s="7"/>
      <c r="F12" s="7"/>
      <c r="G12" s="7"/>
      <c r="H12" s="7"/>
      <c r="I12" s="40"/>
      <c r="J12" s="40"/>
    </row>
    <row r="13" spans="1:11" ht="15.75" customHeight="1" x14ac:dyDescent="0.2">
      <c r="A13" s="41"/>
      <c r="B13" s="44"/>
      <c r="C13" s="4" t="s">
        <v>39</v>
      </c>
      <c r="D13" s="4" t="s">
        <v>40</v>
      </c>
      <c r="E13" s="5">
        <v>2</v>
      </c>
      <c r="F13" s="7"/>
      <c r="G13" s="7"/>
      <c r="H13" s="7"/>
      <c r="I13" s="41"/>
      <c r="J13" s="41"/>
    </row>
    <row r="14" spans="1:11" ht="15.75" customHeight="1" x14ac:dyDescent="0.2">
      <c r="A14" s="39">
        <v>4</v>
      </c>
      <c r="B14" s="42" t="s">
        <v>0</v>
      </c>
      <c r="C14" s="4" t="s">
        <v>44</v>
      </c>
      <c r="D14" s="4" t="s">
        <v>18</v>
      </c>
      <c r="E14" s="5">
        <v>3</v>
      </c>
      <c r="F14" s="4" t="s">
        <v>44</v>
      </c>
      <c r="G14" s="4" t="s">
        <v>18</v>
      </c>
      <c r="H14" s="5">
        <v>4</v>
      </c>
      <c r="I14" s="39">
        <f t="shared" ref="I14" si="1">SUM(E14,E15,E16,H14*2,H16*2,H15*2)</f>
        <v>16</v>
      </c>
      <c r="J14" s="39">
        <v>0</v>
      </c>
    </row>
    <row r="15" spans="1:11" ht="15.75" customHeight="1" x14ac:dyDescent="0.2">
      <c r="A15" s="40"/>
      <c r="B15" s="43"/>
      <c r="C15" s="4" t="s">
        <v>44</v>
      </c>
      <c r="D15" s="4" t="s">
        <v>18</v>
      </c>
      <c r="E15" s="5">
        <v>3</v>
      </c>
      <c r="F15" s="7"/>
      <c r="G15" s="7"/>
      <c r="H15" s="7"/>
      <c r="I15" s="40"/>
      <c r="J15" s="40"/>
    </row>
    <row r="16" spans="1:11" ht="15.75" customHeight="1" x14ac:dyDescent="0.2">
      <c r="A16" s="41"/>
      <c r="B16" s="44"/>
      <c r="C16" s="4" t="s">
        <v>39</v>
      </c>
      <c r="D16" s="4" t="s">
        <v>40</v>
      </c>
      <c r="E16" s="5">
        <v>2</v>
      </c>
      <c r="F16" s="7"/>
      <c r="G16" s="7"/>
      <c r="H16" s="7"/>
      <c r="I16" s="41"/>
      <c r="J16" s="41"/>
    </row>
    <row r="17" spans="1:10" ht="15.75" customHeight="1" x14ac:dyDescent="0.2">
      <c r="A17" s="39">
        <v>5</v>
      </c>
      <c r="B17" s="42" t="s">
        <v>1</v>
      </c>
      <c r="C17" s="4" t="s">
        <v>45</v>
      </c>
      <c r="D17" s="4" t="s">
        <v>40</v>
      </c>
      <c r="E17" s="5">
        <v>3</v>
      </c>
      <c r="F17" s="4" t="s">
        <v>45</v>
      </c>
      <c r="G17" s="4" t="s">
        <v>40</v>
      </c>
      <c r="H17" s="5">
        <v>4</v>
      </c>
      <c r="I17" s="39">
        <f t="shared" ref="I17" si="2">SUM(E17,E18,E19,H17*2,H19*2,H18*2)</f>
        <v>16</v>
      </c>
      <c r="J17" s="39">
        <v>0</v>
      </c>
    </row>
    <row r="18" spans="1:10" ht="15.75" customHeight="1" x14ac:dyDescent="0.2">
      <c r="A18" s="40"/>
      <c r="B18" s="43"/>
      <c r="C18" s="4" t="s">
        <v>45</v>
      </c>
      <c r="D18" s="4" t="s">
        <v>40</v>
      </c>
      <c r="E18" s="5">
        <v>3</v>
      </c>
      <c r="F18" s="7"/>
      <c r="G18" s="7"/>
      <c r="H18" s="7"/>
      <c r="I18" s="40"/>
      <c r="J18" s="40"/>
    </row>
    <row r="19" spans="1:10" ht="15.75" customHeight="1" x14ac:dyDescent="0.2">
      <c r="A19" s="41"/>
      <c r="B19" s="44"/>
      <c r="C19" s="4" t="s">
        <v>39</v>
      </c>
      <c r="D19" s="4" t="s">
        <v>40</v>
      </c>
      <c r="E19" s="5">
        <v>2</v>
      </c>
      <c r="F19" s="7"/>
      <c r="G19" s="7"/>
      <c r="H19" s="7"/>
      <c r="I19" s="41"/>
      <c r="J19" s="41"/>
    </row>
    <row r="20" spans="1:10" ht="15.75" customHeight="1" x14ac:dyDescent="0.2">
      <c r="A20" s="39">
        <v>6</v>
      </c>
      <c r="B20" s="42" t="s">
        <v>2</v>
      </c>
      <c r="C20" s="4" t="s">
        <v>38</v>
      </c>
      <c r="D20" s="4" t="s">
        <v>37</v>
      </c>
      <c r="E20" s="5">
        <v>6</v>
      </c>
      <c r="F20" s="4" t="s">
        <v>38</v>
      </c>
      <c r="G20" s="4" t="s">
        <v>37</v>
      </c>
      <c r="H20" s="5">
        <v>3</v>
      </c>
      <c r="I20" s="39">
        <f t="shared" ref="I20" si="3">SUM(E20,E21,E22,H20*2,H22*2,H21*2)</f>
        <v>16</v>
      </c>
      <c r="J20" s="39">
        <v>0</v>
      </c>
    </row>
    <row r="21" spans="1:10" ht="15.75" customHeight="1" x14ac:dyDescent="0.2">
      <c r="A21" s="40"/>
      <c r="B21" s="43"/>
      <c r="C21" s="4" t="s">
        <v>46</v>
      </c>
      <c r="D21" s="4" t="s">
        <v>37</v>
      </c>
      <c r="E21" s="5">
        <v>2</v>
      </c>
      <c r="F21" s="7"/>
      <c r="G21" s="7"/>
      <c r="H21" s="7"/>
      <c r="I21" s="40"/>
      <c r="J21" s="40"/>
    </row>
    <row r="22" spans="1:10" ht="15.75" customHeight="1" x14ac:dyDescent="0.2">
      <c r="A22" s="41"/>
      <c r="B22" s="44"/>
      <c r="C22" s="4" t="s">
        <v>39</v>
      </c>
      <c r="D22" s="4" t="s">
        <v>40</v>
      </c>
      <c r="E22" s="5">
        <v>2</v>
      </c>
      <c r="F22" s="7"/>
      <c r="G22" s="7"/>
      <c r="H22" s="7"/>
      <c r="I22" s="41"/>
      <c r="J22" s="41"/>
    </row>
    <row r="23" spans="1:10" ht="15.75" customHeight="1" x14ac:dyDescent="0.2">
      <c r="A23" s="39">
        <v>7</v>
      </c>
      <c r="B23" s="42" t="s">
        <v>3</v>
      </c>
      <c r="C23" s="4" t="s">
        <v>47</v>
      </c>
      <c r="D23" s="4" t="s">
        <v>40</v>
      </c>
      <c r="E23" s="5">
        <v>3</v>
      </c>
      <c r="F23" s="4" t="s">
        <v>48</v>
      </c>
      <c r="G23" s="4" t="s">
        <v>40</v>
      </c>
      <c r="H23" s="5">
        <v>4</v>
      </c>
      <c r="I23" s="39">
        <f t="shared" ref="I23" si="4">SUM(E23,E24,E25,H23*2,H25*2,H24*2)</f>
        <v>16</v>
      </c>
      <c r="J23" s="39">
        <v>0</v>
      </c>
    </row>
    <row r="24" spans="1:10" ht="15.75" customHeight="1" x14ac:dyDescent="0.2">
      <c r="A24" s="40"/>
      <c r="B24" s="43"/>
      <c r="C24" s="4" t="s">
        <v>47</v>
      </c>
      <c r="D24" s="4" t="s">
        <v>40</v>
      </c>
      <c r="E24" s="5">
        <v>3</v>
      </c>
      <c r="F24" s="7"/>
      <c r="G24" s="7"/>
      <c r="H24" s="7"/>
      <c r="I24" s="40"/>
      <c r="J24" s="40"/>
    </row>
    <row r="25" spans="1:10" ht="15.75" customHeight="1" x14ac:dyDescent="0.2">
      <c r="A25" s="41"/>
      <c r="B25" s="44"/>
      <c r="C25" s="4" t="s">
        <v>39</v>
      </c>
      <c r="D25" s="4" t="s">
        <v>40</v>
      </c>
      <c r="E25" s="5">
        <v>2</v>
      </c>
      <c r="F25" s="7"/>
      <c r="G25" s="7"/>
      <c r="H25" s="7"/>
      <c r="I25" s="41"/>
      <c r="J25" s="41"/>
    </row>
    <row r="26" spans="1:10" ht="15.75" customHeight="1" x14ac:dyDescent="0.2">
      <c r="A26" s="39">
        <v>8</v>
      </c>
      <c r="B26" s="42" t="s">
        <v>4</v>
      </c>
      <c r="C26" s="4" t="s">
        <v>20</v>
      </c>
      <c r="D26" s="4" t="s">
        <v>40</v>
      </c>
      <c r="E26" s="5">
        <v>3</v>
      </c>
      <c r="F26" s="4" t="s">
        <v>48</v>
      </c>
      <c r="G26" s="4" t="s">
        <v>40</v>
      </c>
      <c r="H26" s="5">
        <v>4</v>
      </c>
      <c r="I26" s="39">
        <f t="shared" ref="I26" si="5">SUM(E26,E27,E28,H26*2,H28*2,H27*2)</f>
        <v>16</v>
      </c>
      <c r="J26" s="39">
        <v>0</v>
      </c>
    </row>
    <row r="27" spans="1:10" ht="15.75" customHeight="1" x14ac:dyDescent="0.2">
      <c r="A27" s="40"/>
      <c r="B27" s="43"/>
      <c r="C27" s="4" t="s">
        <v>20</v>
      </c>
      <c r="D27" s="4" t="s">
        <v>40</v>
      </c>
      <c r="E27" s="5">
        <v>3</v>
      </c>
      <c r="F27" s="7"/>
      <c r="G27" s="7"/>
      <c r="H27" s="7"/>
      <c r="I27" s="40"/>
      <c r="J27" s="40"/>
    </row>
    <row r="28" spans="1:10" ht="15.75" customHeight="1" x14ac:dyDescent="0.2">
      <c r="A28" s="41"/>
      <c r="B28" s="44"/>
      <c r="C28" s="4" t="s">
        <v>39</v>
      </c>
      <c r="D28" s="4" t="s">
        <v>40</v>
      </c>
      <c r="E28" s="5">
        <v>2</v>
      </c>
      <c r="F28" s="7"/>
      <c r="G28" s="7"/>
      <c r="H28" s="7"/>
      <c r="I28" s="41"/>
      <c r="J28" s="41"/>
    </row>
    <row r="29" spans="1:10" ht="15.75" customHeight="1" x14ac:dyDescent="0.2">
      <c r="A29" s="39">
        <v>9</v>
      </c>
      <c r="B29" s="42" t="s">
        <v>5</v>
      </c>
      <c r="C29" s="4" t="s">
        <v>49</v>
      </c>
      <c r="D29" s="4" t="s">
        <v>40</v>
      </c>
      <c r="E29" s="5">
        <v>3</v>
      </c>
      <c r="F29" s="4" t="s">
        <v>49</v>
      </c>
      <c r="G29" s="4" t="s">
        <v>40</v>
      </c>
      <c r="H29" s="5">
        <v>2</v>
      </c>
      <c r="I29" s="39">
        <f t="shared" ref="I29" si="6">SUM(E29,E30,E31,H29*2,H31*2,H30*2)</f>
        <v>15</v>
      </c>
      <c r="J29" s="39">
        <v>1</v>
      </c>
    </row>
    <row r="30" spans="1:10" ht="15.75" customHeight="1" x14ac:dyDescent="0.2">
      <c r="A30" s="40"/>
      <c r="B30" s="43"/>
      <c r="C30" s="1" t="s">
        <v>17</v>
      </c>
      <c r="D30" s="1" t="s">
        <v>18</v>
      </c>
      <c r="E30" s="1">
        <v>2</v>
      </c>
      <c r="F30" s="4" t="s">
        <v>25</v>
      </c>
      <c r="G30" s="4" t="s">
        <v>18</v>
      </c>
      <c r="H30" s="5">
        <v>2</v>
      </c>
      <c r="I30" s="40"/>
      <c r="J30" s="40"/>
    </row>
    <row r="31" spans="1:10" ht="15.75" customHeight="1" x14ac:dyDescent="0.2">
      <c r="A31" s="41"/>
      <c r="B31" s="44"/>
      <c r="C31" s="4" t="s">
        <v>39</v>
      </c>
      <c r="D31" s="4" t="s">
        <v>40</v>
      </c>
      <c r="E31" s="5">
        <v>2</v>
      </c>
      <c r="F31" s="4"/>
      <c r="G31" s="4"/>
      <c r="H31" s="5"/>
      <c r="I31" s="41"/>
      <c r="J31" s="41"/>
    </row>
    <row r="32" spans="1:10" ht="15.75" customHeight="1" x14ac:dyDescent="0.2">
      <c r="A32" s="39">
        <v>10</v>
      </c>
      <c r="B32" s="42" t="s">
        <v>50</v>
      </c>
      <c r="C32" s="4" t="s">
        <v>51</v>
      </c>
      <c r="D32" s="4" t="s">
        <v>52</v>
      </c>
      <c r="E32" s="5">
        <v>3</v>
      </c>
      <c r="F32" s="4" t="s">
        <v>51</v>
      </c>
      <c r="G32" s="4" t="s">
        <v>52</v>
      </c>
      <c r="H32" s="5">
        <v>4</v>
      </c>
      <c r="I32" s="39">
        <f t="shared" ref="I32" si="7">SUM(E32,E33,E34,H32*2,H34*2,H33*2)</f>
        <v>16</v>
      </c>
      <c r="J32" s="39">
        <v>0</v>
      </c>
    </row>
    <row r="33" spans="1:13" ht="15.75" customHeight="1" x14ac:dyDescent="0.2">
      <c r="A33" s="40"/>
      <c r="B33" s="43"/>
      <c r="C33" s="4" t="s">
        <v>51</v>
      </c>
      <c r="D33" s="4" t="s">
        <v>52</v>
      </c>
      <c r="E33" s="5">
        <v>3</v>
      </c>
      <c r="F33" s="7"/>
      <c r="G33" s="7"/>
      <c r="H33" s="7"/>
      <c r="I33" s="40"/>
      <c r="J33" s="40"/>
    </row>
    <row r="34" spans="1:13" ht="15.75" customHeight="1" x14ac:dyDescent="0.2">
      <c r="A34" s="41"/>
      <c r="B34" s="44"/>
      <c r="C34" s="4" t="s">
        <v>39</v>
      </c>
      <c r="D34" s="4" t="s">
        <v>40</v>
      </c>
      <c r="E34" s="5">
        <v>2</v>
      </c>
      <c r="F34" s="7"/>
      <c r="G34" s="7"/>
      <c r="H34" s="7"/>
      <c r="I34" s="41"/>
      <c r="J34" s="41"/>
    </row>
    <row r="35" spans="1:13" ht="15.75" customHeight="1" x14ac:dyDescent="0.2">
      <c r="A35" s="39">
        <v>11</v>
      </c>
      <c r="B35" s="42" t="s">
        <v>6</v>
      </c>
      <c r="C35" s="4" t="s">
        <v>19</v>
      </c>
      <c r="D35" s="4" t="s">
        <v>18</v>
      </c>
      <c r="E35" s="5">
        <v>3</v>
      </c>
      <c r="F35" s="4" t="s">
        <v>19</v>
      </c>
      <c r="G35" s="4" t="s">
        <v>18</v>
      </c>
      <c r="H35" s="5">
        <v>4</v>
      </c>
      <c r="I35" s="39">
        <f t="shared" ref="I35" si="8">SUM(E35,E36,E37,H35*2,H37*2,H36*2)</f>
        <v>16</v>
      </c>
      <c r="J35" s="39">
        <v>0</v>
      </c>
    </row>
    <row r="36" spans="1:13" ht="15.75" customHeight="1" x14ac:dyDescent="0.2">
      <c r="A36" s="40"/>
      <c r="B36" s="43"/>
      <c r="C36" s="4" t="s">
        <v>19</v>
      </c>
      <c r="D36" s="4" t="s">
        <v>18</v>
      </c>
      <c r="E36" s="5">
        <v>3</v>
      </c>
      <c r="F36" s="7"/>
      <c r="G36" s="7"/>
      <c r="H36" s="7"/>
      <c r="I36" s="40"/>
      <c r="J36" s="40"/>
    </row>
    <row r="37" spans="1:13" ht="15.75" customHeight="1" x14ac:dyDescent="0.2">
      <c r="A37" s="41"/>
      <c r="B37" s="44"/>
      <c r="C37" s="4" t="s">
        <v>39</v>
      </c>
      <c r="D37" s="4" t="s">
        <v>40</v>
      </c>
      <c r="E37" s="5">
        <v>2</v>
      </c>
      <c r="F37" s="7"/>
      <c r="G37" s="7"/>
      <c r="H37" s="7"/>
      <c r="I37" s="41"/>
      <c r="J37" s="41"/>
    </row>
    <row r="38" spans="1:13" ht="15.75" customHeight="1" x14ac:dyDescent="0.2">
      <c r="A38" s="39">
        <v>12</v>
      </c>
      <c r="B38" s="42" t="s">
        <v>7</v>
      </c>
      <c r="C38" s="4" t="s">
        <v>53</v>
      </c>
      <c r="D38" s="4" t="s">
        <v>37</v>
      </c>
      <c r="E38" s="5">
        <v>3</v>
      </c>
      <c r="F38" s="4" t="s">
        <v>43</v>
      </c>
      <c r="G38" s="4" t="s">
        <v>37</v>
      </c>
      <c r="H38" s="5">
        <v>2</v>
      </c>
      <c r="I38" s="39">
        <f t="shared" ref="I38" si="9">SUM(E38,E39,E40,H38*2,H40*2,H39*2)</f>
        <v>16</v>
      </c>
      <c r="J38" s="39">
        <v>0</v>
      </c>
    </row>
    <row r="39" spans="1:13" ht="15.75" customHeight="1" x14ac:dyDescent="0.2">
      <c r="A39" s="40"/>
      <c r="B39" s="43"/>
      <c r="C39" s="4" t="s">
        <v>43</v>
      </c>
      <c r="D39" s="4" t="s">
        <v>37</v>
      </c>
      <c r="E39" s="5">
        <v>3</v>
      </c>
      <c r="F39" s="4" t="s">
        <v>38</v>
      </c>
      <c r="G39" s="4" t="s">
        <v>37</v>
      </c>
      <c r="H39" s="5">
        <v>2</v>
      </c>
      <c r="I39" s="40"/>
      <c r="J39" s="40"/>
    </row>
    <row r="40" spans="1:13" ht="15.75" customHeight="1" x14ac:dyDescent="0.2">
      <c r="A40" s="40"/>
      <c r="B40" s="43"/>
      <c r="C40" s="13" t="s">
        <v>39</v>
      </c>
      <c r="D40" s="13" t="s">
        <v>40</v>
      </c>
      <c r="E40" s="37">
        <v>2</v>
      </c>
      <c r="F40" s="8"/>
      <c r="G40" s="8"/>
      <c r="H40" s="8"/>
      <c r="I40" s="40"/>
      <c r="J40" s="41"/>
    </row>
    <row r="41" spans="1:13" ht="15.75" customHeight="1" x14ac:dyDescent="0.2">
      <c r="A41" s="47">
        <v>13</v>
      </c>
      <c r="B41" s="48" t="s">
        <v>78</v>
      </c>
      <c r="C41" s="17" t="s">
        <v>54</v>
      </c>
      <c r="D41" s="17" t="s">
        <v>37</v>
      </c>
      <c r="E41" s="18">
        <v>3</v>
      </c>
      <c r="F41" s="17" t="s">
        <v>51</v>
      </c>
      <c r="G41" s="17">
        <v>4</v>
      </c>
      <c r="H41" s="18">
        <v>8</v>
      </c>
      <c r="I41" s="60">
        <v>16</v>
      </c>
      <c r="J41" s="45">
        <v>0</v>
      </c>
      <c r="M41" s="16"/>
    </row>
    <row r="42" spans="1:13" ht="15.75" customHeight="1" x14ac:dyDescent="0.2">
      <c r="A42" s="47"/>
      <c r="B42" s="48"/>
      <c r="C42" s="17" t="s">
        <v>54</v>
      </c>
      <c r="D42" s="17" t="s">
        <v>37</v>
      </c>
      <c r="E42" s="18">
        <v>3</v>
      </c>
      <c r="F42" s="19"/>
      <c r="G42" s="19"/>
      <c r="H42" s="19"/>
      <c r="I42" s="60" t="e">
        <f t="shared" ref="I42:I43" si="10">SUM(A42,A43,A44,C42*2)</f>
        <v>#VALUE!</v>
      </c>
      <c r="J42" s="46"/>
    </row>
    <row r="43" spans="1:13" ht="15.75" customHeight="1" x14ac:dyDescent="0.2">
      <c r="A43" s="47"/>
      <c r="B43" s="48"/>
      <c r="C43" s="17" t="s">
        <v>39</v>
      </c>
      <c r="D43" s="17" t="s">
        <v>40</v>
      </c>
      <c r="E43" s="18">
        <v>2</v>
      </c>
      <c r="F43" s="19"/>
      <c r="G43" s="19"/>
      <c r="H43" s="19"/>
      <c r="I43" s="60" t="e">
        <f t="shared" si="10"/>
        <v>#VALUE!</v>
      </c>
      <c r="J43" s="49"/>
    </row>
    <row r="44" spans="1:13" ht="15.75" customHeight="1" x14ac:dyDescent="0.2">
      <c r="A44" s="58">
        <v>14</v>
      </c>
      <c r="B44" s="59" t="s">
        <v>55</v>
      </c>
      <c r="C44" s="21" t="s">
        <v>51</v>
      </c>
      <c r="D44" s="21" t="s">
        <v>52</v>
      </c>
      <c r="E44" s="38">
        <v>3</v>
      </c>
      <c r="F44" s="21" t="s">
        <v>51</v>
      </c>
      <c r="G44" s="21" t="s">
        <v>52</v>
      </c>
      <c r="H44" s="38">
        <v>4</v>
      </c>
      <c r="I44" s="40">
        <f>SUM(E8,E9,E46,H44*2,H46*2,H45*2)</f>
        <v>16</v>
      </c>
      <c r="J44" s="39">
        <v>0</v>
      </c>
    </row>
    <row r="45" spans="1:13" ht="15.75" customHeight="1" x14ac:dyDescent="0.2">
      <c r="A45" s="47"/>
      <c r="B45" s="48"/>
      <c r="C45" s="4" t="s">
        <v>51</v>
      </c>
      <c r="D45" s="4" t="s">
        <v>52</v>
      </c>
      <c r="E45" s="5">
        <v>3</v>
      </c>
      <c r="F45" s="7"/>
      <c r="G45" s="7"/>
      <c r="H45" s="7"/>
      <c r="I45" s="40"/>
      <c r="J45" s="40"/>
    </row>
    <row r="46" spans="1:13" ht="15.75" customHeight="1" x14ac:dyDescent="0.2">
      <c r="A46" s="47"/>
      <c r="B46" s="48"/>
      <c r="C46" s="17" t="s">
        <v>39</v>
      </c>
      <c r="D46" s="17" t="s">
        <v>40</v>
      </c>
      <c r="E46" s="18">
        <v>2</v>
      </c>
      <c r="F46" s="19"/>
      <c r="G46" s="19"/>
      <c r="H46" s="19"/>
      <c r="I46" s="49"/>
      <c r="J46" s="40"/>
    </row>
    <row r="47" spans="1:13" ht="15.75" customHeight="1" x14ac:dyDescent="0.2">
      <c r="A47" s="47">
        <v>15</v>
      </c>
      <c r="B47" s="48" t="s">
        <v>8</v>
      </c>
      <c r="C47" s="17" t="s">
        <v>56</v>
      </c>
      <c r="D47" s="17" t="s">
        <v>57</v>
      </c>
      <c r="E47" s="18">
        <v>4</v>
      </c>
      <c r="F47" s="17" t="s">
        <v>56</v>
      </c>
      <c r="G47" s="17" t="s">
        <v>57</v>
      </c>
      <c r="H47" s="18">
        <v>4</v>
      </c>
      <c r="I47" s="45">
        <f t="shared" ref="I47" si="11">SUM(E47,E48,E49,H47*2,H49*2,H48*2)</f>
        <v>16</v>
      </c>
      <c r="J47" s="40">
        <v>0</v>
      </c>
    </row>
    <row r="48" spans="1:13" ht="15.75" customHeight="1" x14ac:dyDescent="0.2">
      <c r="A48" s="47"/>
      <c r="B48" s="48"/>
      <c r="C48" s="20"/>
      <c r="D48" s="15"/>
      <c r="E48" s="15"/>
      <c r="F48" s="21" t="s">
        <v>45</v>
      </c>
      <c r="G48" s="21" t="s">
        <v>40</v>
      </c>
      <c r="H48" s="22">
        <v>1</v>
      </c>
      <c r="I48" s="40"/>
      <c r="J48" s="40"/>
    </row>
    <row r="49" spans="1:10" ht="15.75" customHeight="1" x14ac:dyDescent="0.2">
      <c r="A49" s="47"/>
      <c r="B49" s="48"/>
      <c r="C49" s="9" t="s">
        <v>39</v>
      </c>
      <c r="D49" s="4" t="s">
        <v>40</v>
      </c>
      <c r="E49" s="5">
        <v>2</v>
      </c>
      <c r="F49" s="7"/>
      <c r="G49" s="7"/>
      <c r="H49" s="7"/>
      <c r="I49" s="41"/>
      <c r="J49" s="41"/>
    </row>
    <row r="50" spans="1:10" ht="15.75" customHeight="1" x14ac:dyDescent="0.2">
      <c r="A50" s="40">
        <v>16</v>
      </c>
      <c r="B50" s="43" t="s">
        <v>9</v>
      </c>
      <c r="C50" s="4" t="s">
        <v>58</v>
      </c>
      <c r="D50" s="4" t="s">
        <v>40</v>
      </c>
      <c r="E50" s="5">
        <v>3</v>
      </c>
      <c r="F50" s="4" t="s">
        <v>58</v>
      </c>
      <c r="G50" s="4" t="s">
        <v>40</v>
      </c>
      <c r="H50" s="5">
        <v>3</v>
      </c>
      <c r="I50" s="39">
        <f t="shared" ref="I50" si="12">SUM(E50,E51,E52,H50*2,H52*2,H51*2)</f>
        <v>15</v>
      </c>
      <c r="J50" s="39">
        <v>-1</v>
      </c>
    </row>
    <row r="51" spans="1:10" ht="15.75" customHeight="1" x14ac:dyDescent="0.2">
      <c r="A51" s="40"/>
      <c r="B51" s="43"/>
      <c r="C51" s="7"/>
      <c r="D51" s="7"/>
      <c r="E51" s="7"/>
      <c r="F51" s="4" t="s">
        <v>44</v>
      </c>
      <c r="G51" s="4" t="s">
        <v>18</v>
      </c>
      <c r="H51" s="5">
        <v>2</v>
      </c>
      <c r="I51" s="40"/>
      <c r="J51" s="40"/>
    </row>
    <row r="52" spans="1:10" ht="15.75" customHeight="1" x14ac:dyDescent="0.2">
      <c r="A52" s="41"/>
      <c r="B52" s="44"/>
      <c r="C52" s="4" t="s">
        <v>39</v>
      </c>
      <c r="D52" s="4" t="s">
        <v>40</v>
      </c>
      <c r="E52" s="5">
        <v>2</v>
      </c>
      <c r="F52" s="7"/>
      <c r="G52" s="7"/>
      <c r="H52" s="7"/>
      <c r="I52" s="41"/>
      <c r="J52" s="41"/>
    </row>
    <row r="53" spans="1:10" ht="15.75" customHeight="1" x14ac:dyDescent="0.2">
      <c r="A53" s="39">
        <v>17</v>
      </c>
      <c r="B53" s="42" t="s">
        <v>10</v>
      </c>
      <c r="C53" s="4" t="s">
        <v>59</v>
      </c>
      <c r="D53" s="4" t="s">
        <v>37</v>
      </c>
      <c r="E53" s="5">
        <v>3</v>
      </c>
      <c r="F53" s="4" t="s">
        <v>59</v>
      </c>
      <c r="G53" s="4" t="s">
        <v>37</v>
      </c>
      <c r="H53" s="5">
        <v>3</v>
      </c>
      <c r="I53" s="39">
        <f>SUM(E53,E54,E55,H53*2,H55*2,H54*2)</f>
        <v>17</v>
      </c>
      <c r="J53" s="39">
        <v>0</v>
      </c>
    </row>
    <row r="54" spans="1:10" ht="15.75" customHeight="1" x14ac:dyDescent="0.2">
      <c r="A54" s="40"/>
      <c r="B54" s="43"/>
      <c r="C54" s="4" t="s">
        <v>46</v>
      </c>
      <c r="D54" s="4" t="s">
        <v>37</v>
      </c>
      <c r="E54" s="5">
        <v>2</v>
      </c>
      <c r="F54" s="7" t="s">
        <v>19</v>
      </c>
      <c r="G54" s="7" t="s">
        <v>18</v>
      </c>
      <c r="H54" s="7">
        <v>2</v>
      </c>
      <c r="I54" s="40"/>
      <c r="J54" s="40"/>
    </row>
    <row r="55" spans="1:10" ht="15.75" customHeight="1" x14ac:dyDescent="0.2">
      <c r="A55" s="41"/>
      <c r="B55" s="44"/>
      <c r="C55" s="4" t="s">
        <v>39</v>
      </c>
      <c r="D55" s="4" t="s">
        <v>40</v>
      </c>
      <c r="E55" s="5">
        <v>2</v>
      </c>
      <c r="F55" s="7"/>
      <c r="G55" s="7"/>
      <c r="H55" s="7"/>
      <c r="I55" s="41"/>
      <c r="J55" s="41"/>
    </row>
    <row r="56" spans="1:10" ht="15.75" customHeight="1" x14ac:dyDescent="0.2">
      <c r="A56" s="39">
        <v>18</v>
      </c>
      <c r="B56" s="42" t="s">
        <v>11</v>
      </c>
      <c r="C56" s="7"/>
      <c r="D56" s="4" t="s">
        <v>60</v>
      </c>
      <c r="E56" s="5">
        <v>3</v>
      </c>
      <c r="F56" s="4" t="s">
        <v>61</v>
      </c>
      <c r="G56" s="4" t="s">
        <v>37</v>
      </c>
      <c r="H56" s="5">
        <v>4</v>
      </c>
      <c r="I56" s="39">
        <f t="shared" ref="I56:I68" si="13">SUM(E56,E57,E58,H56*2,H58*2,H57*2)</f>
        <v>17</v>
      </c>
      <c r="J56" s="39">
        <v>-1</v>
      </c>
    </row>
    <row r="57" spans="1:10" ht="15.75" customHeight="1" x14ac:dyDescent="0.2">
      <c r="A57" s="40"/>
      <c r="B57" s="43"/>
      <c r="C57" s="7"/>
      <c r="D57" s="7"/>
      <c r="E57" s="7"/>
      <c r="F57" s="4" t="s">
        <v>62</v>
      </c>
      <c r="G57" s="4" t="s">
        <v>18</v>
      </c>
      <c r="H57" s="5">
        <v>2</v>
      </c>
      <c r="I57" s="40"/>
      <c r="J57" s="40"/>
    </row>
    <row r="58" spans="1:10" ht="15.75" customHeight="1" x14ac:dyDescent="0.2">
      <c r="A58" s="41"/>
      <c r="B58" s="44"/>
      <c r="C58" s="4" t="s">
        <v>39</v>
      </c>
      <c r="D58" s="4" t="s">
        <v>40</v>
      </c>
      <c r="E58" s="5">
        <v>2</v>
      </c>
      <c r="F58" s="7"/>
      <c r="G58" s="7"/>
      <c r="H58" s="7"/>
      <c r="I58" s="41"/>
      <c r="J58" s="41"/>
    </row>
    <row r="59" spans="1:10" ht="15.75" customHeight="1" x14ac:dyDescent="0.2">
      <c r="A59" s="39">
        <v>19</v>
      </c>
      <c r="B59" s="42" t="s">
        <v>73</v>
      </c>
      <c r="C59" s="4" t="s">
        <v>59</v>
      </c>
      <c r="D59" s="4" t="s">
        <v>37</v>
      </c>
      <c r="E59" s="5">
        <v>3</v>
      </c>
      <c r="F59" s="4" t="s">
        <v>59</v>
      </c>
      <c r="G59" s="4" t="s">
        <v>37</v>
      </c>
      <c r="H59" s="5">
        <v>5</v>
      </c>
      <c r="I59" s="39">
        <f>SUM(E59,E60,E61,H59*2,H61*2,H60*2)</f>
        <v>17</v>
      </c>
      <c r="J59" s="39">
        <v>-1</v>
      </c>
    </row>
    <row r="60" spans="1:10" ht="15.75" customHeight="1" x14ac:dyDescent="0.2">
      <c r="A60" s="40"/>
      <c r="B60" s="43"/>
      <c r="C60" s="7"/>
      <c r="D60" s="7"/>
      <c r="E60" s="7"/>
      <c r="F60" s="4" t="s">
        <v>45</v>
      </c>
      <c r="G60" s="4" t="s">
        <v>40</v>
      </c>
      <c r="H60" s="5">
        <v>1</v>
      </c>
      <c r="I60" s="40"/>
      <c r="J60" s="40"/>
    </row>
    <row r="61" spans="1:10" ht="15.75" customHeight="1" x14ac:dyDescent="0.2">
      <c r="A61" s="41"/>
      <c r="B61" s="44"/>
      <c r="C61" s="4" t="s">
        <v>39</v>
      </c>
      <c r="D61" s="4" t="s">
        <v>40</v>
      </c>
      <c r="E61" s="5">
        <v>2</v>
      </c>
      <c r="F61" s="7"/>
      <c r="G61" s="7"/>
      <c r="H61" s="7"/>
      <c r="I61" s="41"/>
      <c r="J61" s="41"/>
    </row>
    <row r="62" spans="1:10" ht="15.75" customHeight="1" x14ac:dyDescent="0.2">
      <c r="A62" s="39">
        <v>20</v>
      </c>
      <c r="B62" s="42" t="s">
        <v>12</v>
      </c>
      <c r="C62" s="4" t="s">
        <v>63</v>
      </c>
      <c r="D62" s="4" t="s">
        <v>40</v>
      </c>
      <c r="E62" s="5">
        <v>3</v>
      </c>
      <c r="F62" s="4" t="s">
        <v>63</v>
      </c>
      <c r="G62" s="4" t="s">
        <v>40</v>
      </c>
      <c r="H62" s="5">
        <v>1</v>
      </c>
      <c r="I62" s="39">
        <f>SUM(E62,E63,E64,H62*2,H64*2,H63*2)</f>
        <v>15</v>
      </c>
      <c r="J62" s="39">
        <v>1</v>
      </c>
    </row>
    <row r="63" spans="1:10" ht="15.75" customHeight="1" x14ac:dyDescent="0.2">
      <c r="A63" s="40"/>
      <c r="B63" s="43"/>
      <c r="C63" s="7"/>
      <c r="D63" s="7"/>
      <c r="E63" s="7"/>
      <c r="F63" s="4" t="s">
        <v>64</v>
      </c>
      <c r="G63" s="4" t="s">
        <v>37</v>
      </c>
      <c r="H63" s="5">
        <v>4</v>
      </c>
      <c r="I63" s="40"/>
      <c r="J63" s="40"/>
    </row>
    <row r="64" spans="1:10" ht="15.75" customHeight="1" x14ac:dyDescent="0.2">
      <c r="A64" s="41"/>
      <c r="B64" s="44"/>
      <c r="C64" s="4" t="s">
        <v>39</v>
      </c>
      <c r="D64" s="4" t="s">
        <v>40</v>
      </c>
      <c r="E64" s="5">
        <v>2</v>
      </c>
      <c r="F64" s="7"/>
      <c r="G64" s="7"/>
      <c r="H64" s="7"/>
      <c r="I64" s="41"/>
      <c r="J64" s="41"/>
    </row>
    <row r="65" spans="1:10" ht="15.75" customHeight="1" x14ac:dyDescent="0.2">
      <c r="A65" s="39">
        <v>21</v>
      </c>
      <c r="B65" s="42" t="s">
        <v>13</v>
      </c>
      <c r="C65" s="4" t="s">
        <v>64</v>
      </c>
      <c r="D65" s="4" t="s">
        <v>37</v>
      </c>
      <c r="E65" s="5">
        <v>3</v>
      </c>
      <c r="F65" s="4" t="s">
        <v>64</v>
      </c>
      <c r="G65" s="4" t="s">
        <v>37</v>
      </c>
      <c r="H65" s="5">
        <v>4</v>
      </c>
      <c r="I65" s="39">
        <f t="shared" si="13"/>
        <v>16</v>
      </c>
      <c r="J65" s="39">
        <v>0</v>
      </c>
    </row>
    <row r="66" spans="1:10" ht="15.75" customHeight="1" x14ac:dyDescent="0.2">
      <c r="A66" s="40"/>
      <c r="B66" s="43"/>
      <c r="C66" s="4" t="s">
        <v>64</v>
      </c>
      <c r="D66" s="4" t="s">
        <v>37</v>
      </c>
      <c r="E66" s="5">
        <v>3</v>
      </c>
      <c r="F66" s="7"/>
      <c r="G66" s="7"/>
      <c r="H66" s="7"/>
      <c r="I66" s="40"/>
      <c r="J66" s="40"/>
    </row>
    <row r="67" spans="1:10" ht="19.350000000000001" customHeight="1" x14ac:dyDescent="0.2">
      <c r="A67" s="41"/>
      <c r="B67" s="44"/>
      <c r="C67" s="4" t="s">
        <v>39</v>
      </c>
      <c r="D67" s="4" t="s">
        <v>37</v>
      </c>
      <c r="E67" s="5">
        <v>2</v>
      </c>
      <c r="F67" s="7"/>
      <c r="G67" s="7"/>
      <c r="H67" s="7"/>
      <c r="I67" s="41"/>
      <c r="J67" s="41"/>
    </row>
    <row r="68" spans="1:10" ht="15.75" customHeight="1" x14ac:dyDescent="0.2">
      <c r="A68" s="39">
        <v>22</v>
      </c>
      <c r="B68" s="42" t="s">
        <v>14</v>
      </c>
      <c r="C68" s="4" t="s">
        <v>65</v>
      </c>
      <c r="D68" s="4" t="s">
        <v>37</v>
      </c>
      <c r="E68" s="5">
        <v>3</v>
      </c>
      <c r="F68" s="4" t="s">
        <v>65</v>
      </c>
      <c r="G68" s="4" t="s">
        <v>37</v>
      </c>
      <c r="H68" s="5">
        <v>1</v>
      </c>
      <c r="I68" s="39">
        <f t="shared" si="13"/>
        <v>17</v>
      </c>
      <c r="J68" s="39">
        <v>2</v>
      </c>
    </row>
    <row r="69" spans="1:10" ht="15.75" customHeight="1" x14ac:dyDescent="0.2">
      <c r="A69" s="40"/>
      <c r="B69" s="43"/>
      <c r="C69" s="4" t="s">
        <v>66</v>
      </c>
      <c r="D69" s="4" t="s">
        <v>18</v>
      </c>
      <c r="E69" s="5">
        <v>2</v>
      </c>
      <c r="F69" s="4" t="s">
        <v>61</v>
      </c>
      <c r="G69" s="4" t="s">
        <v>37</v>
      </c>
      <c r="H69" s="5">
        <v>3</v>
      </c>
      <c r="I69" s="40"/>
      <c r="J69" s="40"/>
    </row>
    <row r="70" spans="1:10" ht="15.75" customHeight="1" x14ac:dyDescent="0.2">
      <c r="A70" s="41"/>
      <c r="B70" s="44"/>
      <c r="C70" s="4" t="s">
        <v>66</v>
      </c>
      <c r="D70" s="4" t="s">
        <v>18</v>
      </c>
      <c r="E70" s="5">
        <v>2</v>
      </c>
      <c r="F70" s="4" t="s">
        <v>62</v>
      </c>
      <c r="G70" s="4" t="s">
        <v>18</v>
      </c>
      <c r="H70" s="5">
        <v>1</v>
      </c>
      <c r="I70" s="41"/>
      <c r="J70" s="41"/>
    </row>
    <row r="71" spans="1:10" ht="15.75" customHeight="1" x14ac:dyDescent="0.2">
      <c r="A71" s="39">
        <v>23</v>
      </c>
      <c r="B71" s="42" t="s">
        <v>15</v>
      </c>
      <c r="C71" s="4" t="s">
        <v>58</v>
      </c>
      <c r="D71" s="4" t="s">
        <v>40</v>
      </c>
      <c r="E71" s="5">
        <v>3</v>
      </c>
      <c r="F71" s="4" t="s">
        <v>58</v>
      </c>
      <c r="G71" s="4" t="s">
        <v>40</v>
      </c>
      <c r="H71" s="5">
        <v>4</v>
      </c>
      <c r="I71" s="39">
        <f>SUM(E71,E72,E73,H71*2,H73*2,H72*2)</f>
        <v>15</v>
      </c>
      <c r="J71" s="39">
        <v>1</v>
      </c>
    </row>
    <row r="72" spans="1:10" ht="15.75" customHeight="1" x14ac:dyDescent="0.2">
      <c r="A72" s="40"/>
      <c r="B72" s="43"/>
      <c r="C72" s="7"/>
      <c r="D72" s="7"/>
      <c r="E72" s="7"/>
      <c r="F72" s="4"/>
      <c r="G72" s="4"/>
      <c r="H72" s="5"/>
      <c r="I72" s="40"/>
      <c r="J72" s="40"/>
    </row>
    <row r="73" spans="1:10" ht="15.75" customHeight="1" x14ac:dyDescent="0.2">
      <c r="A73" s="41"/>
      <c r="B73" s="44"/>
      <c r="C73" s="7"/>
      <c r="D73" s="7"/>
      <c r="E73" s="7"/>
      <c r="F73" s="4" t="s">
        <v>62</v>
      </c>
      <c r="G73" s="4" t="s">
        <v>18</v>
      </c>
      <c r="H73" s="5">
        <v>2</v>
      </c>
      <c r="I73" s="41"/>
      <c r="J73" s="41"/>
    </row>
    <row r="74" spans="1:10" ht="15.75" customHeight="1" x14ac:dyDescent="0.2">
      <c r="A74" s="39">
        <v>24</v>
      </c>
      <c r="B74" s="42" t="s">
        <v>16</v>
      </c>
      <c r="C74" s="7"/>
      <c r="D74" s="7"/>
      <c r="E74" s="7"/>
      <c r="F74" s="4" t="s">
        <v>67</v>
      </c>
      <c r="G74" s="4" t="s">
        <v>18</v>
      </c>
      <c r="H74" s="5">
        <v>6</v>
      </c>
      <c r="I74" s="55">
        <f>SUM(H74*2,H75*2,H76*2,H77*2)</f>
        <v>18</v>
      </c>
      <c r="J74" s="39">
        <v>1</v>
      </c>
    </row>
    <row r="75" spans="1:10" ht="15.75" customHeight="1" x14ac:dyDescent="0.2">
      <c r="A75" s="40"/>
      <c r="B75" s="43"/>
      <c r="C75" s="7"/>
      <c r="D75" s="7"/>
      <c r="E75" s="7"/>
      <c r="F75" s="4" t="s">
        <v>62</v>
      </c>
      <c r="G75" s="4" t="s">
        <v>18</v>
      </c>
      <c r="H75" s="5">
        <v>1</v>
      </c>
      <c r="I75" s="56"/>
      <c r="J75" s="40"/>
    </row>
    <row r="76" spans="1:10" ht="15.75" customHeight="1" x14ac:dyDescent="0.2">
      <c r="A76" s="40"/>
      <c r="B76" s="43"/>
      <c r="C76" s="7"/>
      <c r="D76" s="7"/>
      <c r="E76" s="7"/>
      <c r="F76" s="4" t="s">
        <v>61</v>
      </c>
      <c r="G76" s="4" t="s">
        <v>37</v>
      </c>
      <c r="H76" s="5">
        <v>1</v>
      </c>
      <c r="I76" s="56"/>
      <c r="J76" s="40"/>
    </row>
    <row r="77" spans="1:10" ht="14.45" customHeight="1" x14ac:dyDescent="0.2">
      <c r="A77" s="41"/>
      <c r="B77" s="44"/>
      <c r="C77" s="7"/>
      <c r="D77" s="7"/>
      <c r="E77" s="7"/>
      <c r="F77" s="4" t="s">
        <v>45</v>
      </c>
      <c r="G77" s="4" t="s">
        <v>40</v>
      </c>
      <c r="H77" s="5">
        <v>1</v>
      </c>
      <c r="I77" s="57"/>
      <c r="J77" s="41"/>
    </row>
    <row r="78" spans="1:10" ht="15.75" customHeight="1" x14ac:dyDescent="0.2">
      <c r="A78" s="39">
        <v>25</v>
      </c>
      <c r="B78" s="42" t="s">
        <v>21</v>
      </c>
      <c r="C78" s="4" t="s">
        <v>68</v>
      </c>
      <c r="D78" s="4" t="s">
        <v>57</v>
      </c>
      <c r="E78" s="5">
        <v>4</v>
      </c>
      <c r="F78" s="4" t="s">
        <v>68</v>
      </c>
      <c r="G78" s="4" t="s">
        <v>57</v>
      </c>
      <c r="H78" s="5">
        <v>2</v>
      </c>
      <c r="I78" s="51">
        <f>E78+H78*2+H79*2</f>
        <v>16</v>
      </c>
      <c r="J78" s="51">
        <v>2</v>
      </c>
    </row>
    <row r="79" spans="1:10" ht="15.75" customHeight="1" x14ac:dyDescent="0.2">
      <c r="A79" s="41"/>
      <c r="B79" s="44"/>
      <c r="C79" s="7"/>
      <c r="D79" s="7"/>
      <c r="E79" s="7"/>
      <c r="F79" s="7" t="s">
        <v>25</v>
      </c>
      <c r="G79" s="7" t="s">
        <v>18</v>
      </c>
      <c r="H79" s="7">
        <v>4</v>
      </c>
      <c r="I79" s="52"/>
      <c r="J79" s="52"/>
    </row>
    <row r="80" spans="1:10" ht="15.75" customHeight="1" x14ac:dyDescent="0.2">
      <c r="A80" s="39">
        <v>26</v>
      </c>
      <c r="B80" s="53" t="s">
        <v>22</v>
      </c>
      <c r="C80" s="4" t="s">
        <v>69</v>
      </c>
      <c r="D80" s="4" t="s">
        <v>18</v>
      </c>
      <c r="E80" s="5">
        <v>3</v>
      </c>
      <c r="F80" s="7"/>
      <c r="G80" s="7"/>
      <c r="H80" s="7"/>
      <c r="I80" s="39">
        <f>SUM(E80,E81,E82,H80*2,H81*2,H82*2)</f>
        <v>8</v>
      </c>
      <c r="J80" s="39">
        <v>5</v>
      </c>
    </row>
    <row r="81" spans="1:10" ht="15.75" customHeight="1" x14ac:dyDescent="0.2">
      <c r="A81" s="40"/>
      <c r="B81" s="54"/>
      <c r="C81" s="4" t="s">
        <v>69</v>
      </c>
      <c r="D81" s="4" t="s">
        <v>18</v>
      </c>
      <c r="E81" s="5">
        <v>3</v>
      </c>
      <c r="F81" s="7"/>
      <c r="G81" s="7"/>
      <c r="H81" s="7"/>
      <c r="I81" s="40"/>
      <c r="J81" s="40"/>
    </row>
    <row r="82" spans="1:10" ht="15.75" customHeight="1" x14ac:dyDescent="0.2">
      <c r="A82" s="40"/>
      <c r="B82" s="54"/>
      <c r="C82" s="13" t="s">
        <v>69</v>
      </c>
      <c r="D82" s="13" t="s">
        <v>70</v>
      </c>
      <c r="E82" s="23">
        <v>2</v>
      </c>
      <c r="F82" s="8"/>
      <c r="G82" s="8"/>
      <c r="H82" s="8"/>
      <c r="I82" s="40"/>
      <c r="J82" s="41"/>
    </row>
    <row r="83" spans="1:10" ht="15.75" customHeight="1" x14ac:dyDescent="0.2">
      <c r="A83" s="26">
        <v>27</v>
      </c>
      <c r="B83" s="24" t="s">
        <v>23</v>
      </c>
      <c r="C83" s="11"/>
      <c r="D83" s="11"/>
      <c r="E83" s="11"/>
      <c r="F83" s="17" t="s">
        <v>71</v>
      </c>
      <c r="G83" s="17" t="s">
        <v>37</v>
      </c>
      <c r="H83" s="25">
        <v>1</v>
      </c>
      <c r="I83" s="26">
        <f>SUM(E83,H83*2)</f>
        <v>2</v>
      </c>
      <c r="J83" s="27">
        <v>3</v>
      </c>
    </row>
    <row r="84" spans="1:10" ht="14.45" customHeight="1" x14ac:dyDescent="0.2">
      <c r="A84" s="25">
        <v>28</v>
      </c>
      <c r="B84" s="28" t="s">
        <v>77</v>
      </c>
      <c r="C84" s="17" t="s">
        <v>71</v>
      </c>
      <c r="D84" s="17" t="s">
        <v>37</v>
      </c>
      <c r="E84" s="18">
        <v>2</v>
      </c>
      <c r="F84" s="17" t="s">
        <v>71</v>
      </c>
      <c r="G84" s="17" t="s">
        <v>37</v>
      </c>
      <c r="H84" s="18">
        <v>3</v>
      </c>
      <c r="I84" s="26">
        <f t="shared" ref="I84:I85" si="14">SUM(E84,H84*2)</f>
        <v>8</v>
      </c>
      <c r="J84" s="29"/>
    </row>
    <row r="85" spans="1:10" ht="15.75" customHeight="1" x14ac:dyDescent="0.2">
      <c r="A85" s="26">
        <v>29</v>
      </c>
      <c r="B85" s="30" t="s">
        <v>24</v>
      </c>
      <c r="C85" s="17" t="s">
        <v>81</v>
      </c>
      <c r="D85" s="17" t="s">
        <v>37</v>
      </c>
      <c r="E85" s="18">
        <v>2</v>
      </c>
      <c r="F85" s="17" t="s">
        <v>71</v>
      </c>
      <c r="G85" s="17" t="s">
        <v>37</v>
      </c>
      <c r="H85" s="18">
        <v>4</v>
      </c>
      <c r="I85" s="26">
        <f t="shared" si="14"/>
        <v>10</v>
      </c>
      <c r="J85" s="27">
        <v>5</v>
      </c>
    </row>
    <row r="86" spans="1:10" ht="15.75" customHeight="1" x14ac:dyDescent="0.2">
      <c r="A86" s="25">
        <v>30</v>
      </c>
      <c r="B86" s="34" t="s">
        <v>74</v>
      </c>
      <c r="C86" s="35" t="s">
        <v>75</v>
      </c>
      <c r="D86" s="31" t="s">
        <v>40</v>
      </c>
      <c r="E86" s="32">
        <v>3</v>
      </c>
      <c r="F86" s="32"/>
      <c r="G86" s="32"/>
      <c r="H86" s="32"/>
      <c r="I86" s="32">
        <v>3</v>
      </c>
    </row>
  </sheetData>
  <mergeCells count="105">
    <mergeCell ref="A1:K1"/>
    <mergeCell ref="A78:A79"/>
    <mergeCell ref="B78:B79"/>
    <mergeCell ref="I78:I79"/>
    <mergeCell ref="J78:J79"/>
    <mergeCell ref="A80:A82"/>
    <mergeCell ref="B80:B82"/>
    <mergeCell ref="I80:I82"/>
    <mergeCell ref="J80:J82"/>
    <mergeCell ref="A68:A70"/>
    <mergeCell ref="B68:B70"/>
    <mergeCell ref="I68:I70"/>
    <mergeCell ref="J68:J70"/>
    <mergeCell ref="A71:A73"/>
    <mergeCell ref="B71:B73"/>
    <mergeCell ref="I71:I73"/>
    <mergeCell ref="J71:J73"/>
    <mergeCell ref="A74:A77"/>
    <mergeCell ref="B74:B77"/>
    <mergeCell ref="I74:I77"/>
    <mergeCell ref="J74:J77"/>
    <mergeCell ref="A59:A61"/>
    <mergeCell ref="B59:B61"/>
    <mergeCell ref="I59:I61"/>
    <mergeCell ref="J59:J61"/>
    <mergeCell ref="A62:A64"/>
    <mergeCell ref="B62:B64"/>
    <mergeCell ref="I62:I64"/>
    <mergeCell ref="J62:J64"/>
    <mergeCell ref="A65:A67"/>
    <mergeCell ref="B65:B67"/>
    <mergeCell ref="I65:I67"/>
    <mergeCell ref="J65:J67"/>
    <mergeCell ref="A50:A52"/>
    <mergeCell ref="B50:B52"/>
    <mergeCell ref="I50:I52"/>
    <mergeCell ref="J50:J52"/>
    <mergeCell ref="A53:A55"/>
    <mergeCell ref="B53:B55"/>
    <mergeCell ref="I53:I55"/>
    <mergeCell ref="J53:J55"/>
    <mergeCell ref="A56:A58"/>
    <mergeCell ref="B56:B58"/>
    <mergeCell ref="I56:I58"/>
    <mergeCell ref="J56:J58"/>
    <mergeCell ref="A41:A43"/>
    <mergeCell ref="B41:B43"/>
    <mergeCell ref="I41:I43"/>
    <mergeCell ref="J41:J43"/>
    <mergeCell ref="A44:A46"/>
    <mergeCell ref="B44:B46"/>
    <mergeCell ref="I44:I46"/>
    <mergeCell ref="J44:J46"/>
    <mergeCell ref="A47:A49"/>
    <mergeCell ref="B47:B49"/>
    <mergeCell ref="I47:I49"/>
    <mergeCell ref="J47:J49"/>
    <mergeCell ref="A32:A34"/>
    <mergeCell ref="B32:B34"/>
    <mergeCell ref="I32:I34"/>
    <mergeCell ref="J32:J34"/>
    <mergeCell ref="A35:A37"/>
    <mergeCell ref="B35:B37"/>
    <mergeCell ref="I35:I37"/>
    <mergeCell ref="J35:J37"/>
    <mergeCell ref="A38:A40"/>
    <mergeCell ref="B38:B40"/>
    <mergeCell ref="I38:I40"/>
    <mergeCell ref="J38:J40"/>
    <mergeCell ref="A23:A25"/>
    <mergeCell ref="B23:B25"/>
    <mergeCell ref="I23:I25"/>
    <mergeCell ref="J23:J25"/>
    <mergeCell ref="A26:A28"/>
    <mergeCell ref="B26:B28"/>
    <mergeCell ref="I26:I28"/>
    <mergeCell ref="J26:J28"/>
    <mergeCell ref="A29:A31"/>
    <mergeCell ref="B29:B31"/>
    <mergeCell ref="I29:I31"/>
    <mergeCell ref="J29:J31"/>
    <mergeCell ref="A14:A16"/>
    <mergeCell ref="B14:B16"/>
    <mergeCell ref="I14:I16"/>
    <mergeCell ref="J14:J16"/>
    <mergeCell ref="A17:A19"/>
    <mergeCell ref="B17:B19"/>
    <mergeCell ref="I17:I19"/>
    <mergeCell ref="J17:J19"/>
    <mergeCell ref="A20:A22"/>
    <mergeCell ref="B20:B22"/>
    <mergeCell ref="I20:I22"/>
    <mergeCell ref="J20:J22"/>
    <mergeCell ref="A5:A7"/>
    <mergeCell ref="B5:B7"/>
    <mergeCell ref="I5:I7"/>
    <mergeCell ref="J5:J7"/>
    <mergeCell ref="A8:A10"/>
    <mergeCell ref="B8:B10"/>
    <mergeCell ref="I8:I10"/>
    <mergeCell ref="J8:J10"/>
    <mergeCell ref="A11:A13"/>
    <mergeCell ref="B11:B13"/>
    <mergeCell ref="I11:I13"/>
    <mergeCell ref="J11:J13"/>
  </mergeCells>
  <printOptions horizontalCentered="1" verticalCentered="1"/>
  <pageMargins left="0.54062500000000002" right="0.43" top="0.86468750000000005" bottom="0.77" header="0.2" footer="0.24"/>
  <pageSetup scale="90" orientation="portrait" r:id="rId1"/>
  <headerFooter>
    <oddHeader>&amp;C&amp;G</oddHeader>
    <oddFooter>&amp;R&amp;"-,Regular"&amp;G
Dr. Jayashree Khanapuri
Head of EXTC Department</oddFooter>
  </headerFooter>
  <rowBreaks count="1" manualBreakCount="1">
    <brk id="43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</vt:lpstr>
      <vt:lpstr>'Table 1'!Print_Area</vt:lpstr>
      <vt:lpstr>'Table 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Harshawardhan Ahire</dc:creator>
  <cp:lastModifiedBy>S  Tikekar</cp:lastModifiedBy>
  <cp:lastPrinted>2024-07-16T07:14:14Z</cp:lastPrinted>
  <dcterms:created xsi:type="dcterms:W3CDTF">2023-06-30T07:21:40Z</dcterms:created>
  <dcterms:modified xsi:type="dcterms:W3CDTF">2024-07-16T07:14:48Z</dcterms:modified>
</cp:coreProperties>
</file>